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esktop\DataAnalytics\"/>
    </mc:Choice>
  </mc:AlternateContent>
  <xr:revisionPtr revIDLastSave="0" documentId="13_ncr:1_{EC5D2D52-4278-40C5-A34D-3C8C5C5D487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ashboard" sheetId="1" r:id="rId1"/>
    <sheet name="Summary" sheetId="2" r:id="rId2"/>
    <sheet name="By Region" sheetId="3" r:id="rId3"/>
    <sheet name="Monthly" sheetId="4" r:id="rId4"/>
    <sheet name="Data Qualit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" i="1" l="1"/>
  <c r="I6" i="1"/>
  <c r="E6" i="1"/>
  <c r="A6" i="1"/>
</calcChain>
</file>

<file path=xl/sharedStrings.xml><?xml version="1.0" encoding="utf-8"?>
<sst xmlns="http://schemas.openxmlformats.org/spreadsheetml/2006/main" count="77" uniqueCount="76">
  <si>
    <t>Retail Sales 2025  —  Executive Dashboard</t>
  </si>
  <si>
    <t>Full-year 2025 · net of returns · figures reproduced by scripts/build_dashboards.py</t>
  </si>
  <si>
    <t>TOTAL REVENUE</t>
  </si>
  <si>
    <t>TOTAL ORDERS</t>
  </si>
  <si>
    <t>AVG ORDER VALUE</t>
  </si>
  <si>
    <t>TOP REGION · KUMASI</t>
  </si>
  <si>
    <t>Retail Sales 2025 — Management Report</t>
  </si>
  <si>
    <t>Total Revenue</t>
  </si>
  <si>
    <t>Order Count</t>
  </si>
  <si>
    <t>Average Order Value</t>
  </si>
  <si>
    <t>Region</t>
  </si>
  <si>
    <t>Beauty</t>
  </si>
  <si>
    <t>Clothing</t>
  </si>
  <si>
    <t>Electronics</t>
  </si>
  <si>
    <t>Groceries</t>
  </si>
  <si>
    <t>Home</t>
  </si>
  <si>
    <t>Total</t>
  </si>
  <si>
    <t>Kumasi</t>
  </si>
  <si>
    <t>Lagos</t>
  </si>
  <si>
    <t>Edmonton</t>
  </si>
  <si>
    <t>Calgary</t>
  </si>
  <si>
    <t>Accra</t>
  </si>
  <si>
    <t>Abuja</t>
  </si>
  <si>
    <t>Highlighted: Kumasi (top-performing region by total revenue)</t>
  </si>
  <si>
    <t>Month</t>
  </si>
  <si>
    <t>Revenue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</si>
  <si>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</si>
  <si>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</si>
  <si>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</si>
  <si>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</si>
  <si>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</si>
  <si>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</si>
  <si>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</si>
  <si>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</si>
  <si>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</si>
  <si>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</si>
  <si>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</si>
  <si>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</si>
  <si>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Data Quality — Cleaning Audit Trail</t>
  </si>
  <si>
    <t>Source: retail_sales_2025.xlsx (read-only) · produced by scripts/clean_retail_sales.py → clean/cleaning_audit.csv · rendered by scripts/build_dashboards.py</t>
  </si>
  <si>
    <t>Reconciliation:  2,025 raw  −  25 duplicates  −  30 returns  =  1,970 clean rows</t>
  </si>
  <si>
    <t>Step</t>
  </si>
  <si>
    <t>Cleaning Action</t>
  </si>
  <si>
    <t>Basis (rule)</t>
  </si>
  <si>
    <t>Rows In</t>
  </si>
  <si>
    <t>Rows Affected</t>
  </si>
  <si>
    <t>Rows Out</t>
  </si>
  <si>
    <t>Detail</t>
  </si>
  <si>
    <t>1</t>
  </si>
  <si>
    <t>Load raw dataset</t>
  </si>
  <si>
    <t>source</t>
  </si>
  <si>
    <t>Read retail_sales_2025.xlsx (sheet 'sales')</t>
  </si>
  <si>
    <t>2</t>
  </si>
  <si>
    <t>Remove duplicate orders</t>
  </si>
  <si>
    <t>dedupe</t>
  </si>
  <si>
    <t>Dropped rows with a repeated order_id; kept first occurrence</t>
  </si>
  <si>
    <t>3</t>
  </si>
  <si>
    <t>Standardize region labels</t>
  </si>
  <si>
    <t>fix regions</t>
  </si>
  <si>
    <t>Trim whitespace + Title Case; ' calgary' -&gt; 'Calgary' (row count unchanged)</t>
  </si>
  <si>
    <t>4</t>
  </si>
  <si>
    <t>Remove return rows</t>
  </si>
  <si>
    <t>drop negative quantities</t>
  </si>
  <si>
    <t>Removed rows with quantity &lt; 0 (product returns)</t>
  </si>
  <si>
    <t>5</t>
  </si>
  <si>
    <t>Impute missing unit prices</t>
  </si>
  <si>
    <t>median-impute prices</t>
  </si>
  <si>
    <t>Filled 59 null unit_price ($) with median = 244.71</t>
  </si>
  <si>
    <t>6</t>
  </si>
  <si>
    <t>Recalculate revenue</t>
  </si>
  <si>
    <t>recalc revenue</t>
  </si>
  <si>
    <t>revenue = quantity x unit_price; 59 rows changed (incl. previously null)</t>
  </si>
  <si>
    <t>7</t>
  </si>
  <si>
    <t>Final validated dataset</t>
  </si>
  <si>
    <t>output</t>
  </si>
  <si>
    <t>1970 clean rows; nulls remaining = 0; regions = ['Abuja', 'Accra', 'Calgary', 'Edmonton', 'Kumasi', 'Lagos']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</si>
</sst>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7" formatCode="\$#,##0"/>
  </numFmts>
  <fonts count="10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  <font>
      <i/>
      <sz val="9"/>
      <color rgb="FF898781"/>
      <name val="Calibri"/>
    </font>
    <font>
      <b/>
      <sz val="11"/>
      <color rgb="FF1F3864"/>
      <name val="Calibri"/>
    </font>
    <font>
      <b/>
      <sz val="20"/>
      <color rgb="FFFFFFFF"/>
      <name val="Calibri"/>
    </font>
    <font>
      <b/>
      <sz val="10"/>
      <color rgb="FFD9E1F2"/>
      <name val="Calibri"/>
    </font>
    <font>
      <b/>
      <sz val="22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2F5FA"/>
      </patternFill>
    </fill>
    <fill>
      <patternFill patternType="solid">
        <fgColor rgb="FF1F3864"/>
      </patternFill>
    </fill>
    <fill>
      <patternFill patternType="solid">
        <fgColor rgb="FF305496"/>
        <bgColor indexed="64"/>
      </patternFill>
    </fill>
    <fill>
      <patternFill patternType="solid">
        <fgColor rgb="FF1BAF7A"/>
        <bgColor indexed="64"/>
      </patternFill>
    </fill>
    <fill>
      <patternFill patternType="solid">
        <fgColor rgb="FF4A3AA7"/>
        <bgColor indexed="64"/>
      </patternFill>
    </fill>
    <fill>
      <patternFill patternType="solid">
        <fgColor rgb="FFEB6834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0" xfId="0" applyFont="1"/>
    <xf numFmtId="0" fontId="1" fillId="0" borderId="0" xfId="0" applyFont="1"/>
    <xf numFmtId="0" fontId="2" fillId="0" borderId="0" xfId="0" applyFont="1"/>
    <xf numFmtId="16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/>
    <xf numFmtId="164" fontId="0" fillId="3" borderId="1" xfId="0" applyNumberFormat="1" applyFill="1" applyBorder="1"/>
    <xf numFmtId="0" fontId="2" fillId="0" borderId="1" xfId="0" applyFont="1" applyBorder="1"/>
    <xf numFmtId="164" fontId="0" fillId="0" borderId="1" xfId="0" applyNumberFormat="1" applyBorder="1"/>
    <xf numFmtId="0" fontId="2" fillId="4" borderId="1" xfId="0" applyFont="1" applyFill="1" applyBorder="1"/>
    <xf numFmtId="164" fontId="2" fillId="4" borderId="1" xfId="0" applyNumberFormat="1" applyFont="1" applyFill="1" applyBorder="1"/>
    <xf numFmtId="0" fontId="4" fillId="0" borderId="0" xfId="0" applyFont="1"/>
    <xf numFmtId="0" fontId="3" fillId="2" borderId="0" xfId="0" applyFont="1" applyFill="1" applyAlignment="1">
      <alignment horizontal="center"/>
    </xf>
    <xf numFmtId="164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3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0" fillId="0" borderId="0" xfId="0"/>
    <xf numFmtId="0" fontId="0" fillId="6" borderId="0" xfId="0" applyFill="1"/>
    <xf numFmtId="0" fontId="6" fillId="0" borderId="0" xfId="0" applyFont="1"/>
    <xf numFmtId="0" fontId="7" fillId="6" borderId="0" xfId="0" applyFont="1" applyFill="1" applyAlignment="1">
      <alignment horizontal="center" vertical="center" indent="1"/>
    </xf>
    <xf numFmtId="0" fontId="5" fillId="0" borderId="0" xfId="0" applyFont="1"/>
    <xf numFmtId="0" fontId="5" fillId="0" borderId="0" xfId="0" applyFont="1" applyAlignment="1">
      <alignment horizontal="center"/>
    </xf>
    <xf numFmtId="0" fontId="8" fillId="7" borderId="0" xfId="0" applyFont="1" applyFill="1" applyAlignment="1">
      <alignment horizontal="center" vertical="center"/>
    </xf>
    <xf numFmtId="167" fontId="9" fillId="7" borderId="0" xfId="0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3" fontId="9" fillId="8" borderId="0" xfId="0" applyNumberFormat="1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167" fontId="9" fillId="9" borderId="0" xfId="0" applyNumberFormat="1" applyFont="1" applyFill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167" fontId="9" fillId="10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/>
            </a:pPr>
            <a:r>
              <a:rPr lang="en-US"/>
              <a:t>Revenue by Region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'By Region'!$G$1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305496"/>
            </a:solidFill>
            <a:ln>
              <a:noFill/>
              <a:prstDash val="solid"/>
            </a:ln>
          </c:spPr>
          <c:invertIfNegative val="1"/>
          <c:dLbls>
            <c:numFmt formatCode="\$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Region'!$A$2:$A$7</c:f>
              <c:strCache>
                <c:ptCount val="6"/>
                <c:pt idx="0">
                  <c:v>Kumasi</c:v>
                </c:pt>
                <c:pt idx="1">
                  <c:v>Lagos</c:v>
                </c:pt>
                <c:pt idx="2">
                  <c:v>Edmonton</c:v>
                </c:pt>
                <c:pt idx="3">
                  <c:v>Calgary</c:v>
                </c:pt>
                <c:pt idx="4">
                  <c:v>Accra</c:v>
                </c:pt>
                <c:pt idx="5">
                  <c:v>Abuja</c:v>
                </c:pt>
              </c:strCache>
            </c:strRef>
          </c:cat>
          <c:val>
            <c:numRef>
              <c:f>'By Region'!$G$2:$G$7</c:f>
              <c:numCache>
                <c:formatCode>"$"#,##0.00</c:formatCode>
                <c:ptCount val="6"/>
                <c:pt idx="0">
                  <c:v>524851.54</c:v>
                </c:pt>
                <c:pt idx="1">
                  <c:v>493208.44</c:v>
                </c:pt>
                <c:pt idx="2">
                  <c:v>469794.64</c:v>
                </c:pt>
                <c:pt idx="3">
                  <c:v>467932.21</c:v>
                </c:pt>
                <c:pt idx="4">
                  <c:v>462543.30999999988</c:v>
                </c:pt>
                <c:pt idx="5">
                  <c:v>448995.89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5D4-4E21-A005-BB99575FB04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in val="0"/>
        </c:scaling>
        <c:delete val="0"/>
        <c:axPos val="t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/>
            </a:pPr>
            <a:r>
              <a:rPr lang="en-US"/>
              <a:t>Revenue Share by Category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rgbClr val="2A78D6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9EA-4903-AE59-F9D273F0B407}"/>
              </c:ext>
            </c:extLst>
          </c:dPt>
          <c:dPt>
            <c:idx val="1"/>
            <c:bubble3D val="0"/>
            <c:spPr>
              <a:solidFill>
                <a:srgbClr val="1BAF7A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79EA-4903-AE59-F9D273F0B407}"/>
              </c:ext>
            </c:extLst>
          </c:dPt>
          <c:dPt>
            <c:idx val="2"/>
            <c:bubble3D val="0"/>
            <c:spPr>
              <a:solidFill>
                <a:srgbClr val="EDA100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79EA-4903-AE59-F9D273F0B407}"/>
              </c:ext>
            </c:extLst>
          </c:dPt>
          <c:dPt>
            <c:idx val="3"/>
            <c:bubble3D val="0"/>
            <c:spPr>
              <a:solidFill>
                <a:srgbClr val="008300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9EA-4903-AE59-F9D273F0B407}"/>
              </c:ext>
            </c:extLst>
          </c:dPt>
          <c:dPt>
            <c:idx val="4"/>
            <c:bubble3D val="0"/>
            <c:spPr>
              <a:solidFill>
                <a:srgbClr val="4A3AA7"/>
              </a:solidFill>
              <a:ln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79EA-4903-AE59-F9D273F0B407}"/>
              </c:ext>
            </c:extLst>
          </c:dPt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FFFF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'By Region'!$B$1:$F$1</c:f>
              <c:strCache>
                <c:ptCount val="5"/>
                <c:pt idx="0">
                  <c:v>Beauty</c:v>
                </c:pt>
                <c:pt idx="1">
                  <c:v>Clothing</c:v>
                </c:pt>
                <c:pt idx="2">
                  <c:v>Electronics</c:v>
                </c:pt>
                <c:pt idx="3">
                  <c:v>Groceries</c:v>
                </c:pt>
                <c:pt idx="4">
                  <c:v>Home</c:v>
                </c:pt>
              </c:strCache>
            </c:strRef>
          </c:cat>
          <c:val>
            <c:numRef>
              <c:f>'By Region'!$B$8:$F$8</c:f>
              <c:numCache>
                <c:formatCode>"$"#,##0.00</c:formatCode>
                <c:ptCount val="5"/>
                <c:pt idx="0">
                  <c:v>597160</c:v>
                </c:pt>
                <c:pt idx="1">
                  <c:v>601594.12000000011</c:v>
                </c:pt>
                <c:pt idx="2">
                  <c:v>551934.69999999995</c:v>
                </c:pt>
                <c:pt idx="3">
                  <c:v>558477.49</c:v>
                </c:pt>
                <c:pt idx="4">
                  <c:v>558159.72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9EA-4903-AE59-F9D273F0B407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55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/>
            </a:pPr>
            <a:r>
              <a:rPr lang="en-US"/>
              <a:t>Monthly Revenue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>
              <a:solidFill>
                <a:srgbClr val="305496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305496"/>
              </a:solidFill>
              <a:ln>
                <a:solidFill>
                  <a:srgbClr val="305496"/>
                </a:solidFill>
                <a:prstDash val="solid"/>
              </a:ln>
            </c:spPr>
          </c:marker>
          <c:cat>
            <c:strRef>
              <c:f>Monthly!$A$2:$A$13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Monthly!$B$2:$B$13</c:f>
              <c:numCache>
                <c:formatCode>"$"#,##0.00</c:formatCode>
                <c:ptCount val="12"/>
                <c:pt idx="0">
                  <c:v>238016.59</c:v>
                </c:pt>
                <c:pt idx="1">
                  <c:v>221111.45</c:v>
                </c:pt>
                <c:pt idx="2">
                  <c:v>204271.96</c:v>
                </c:pt>
                <c:pt idx="3">
                  <c:v>242107.12</c:v>
                </c:pt>
                <c:pt idx="4">
                  <c:v>249341.86</c:v>
                </c:pt>
                <c:pt idx="5">
                  <c:v>274435.49</c:v>
                </c:pt>
                <c:pt idx="6">
                  <c:v>203124.64</c:v>
                </c:pt>
                <c:pt idx="7">
                  <c:v>287931.43</c:v>
                </c:pt>
                <c:pt idx="8">
                  <c:v>232819.94</c:v>
                </c:pt>
                <c:pt idx="9">
                  <c:v>232139.64</c:v>
                </c:pt>
                <c:pt idx="10">
                  <c:v>216142.27</c:v>
                </c:pt>
                <c:pt idx="11">
                  <c:v>265883.64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37-4B0D-BA8E-1B82BD38F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300000"/>
          <c:min val="150000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  <c:majorUnit val="25000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 b="1"/>
            </a:pPr>
            <a:r>
              <a:rPr lang="en-US"/>
              <a:t>Category Mix by Region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'By Region'!$B$1</c:f>
              <c:strCache>
                <c:ptCount val="1"/>
                <c:pt idx="0">
                  <c:v>Beauty</c:v>
                </c:pt>
              </c:strCache>
            </c:strRef>
          </c:tx>
          <c:spPr>
            <a:solidFill>
              <a:srgbClr val="2A78D6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'By Region'!$A$2:$A$7</c:f>
              <c:strCache>
                <c:ptCount val="6"/>
                <c:pt idx="0">
                  <c:v>Kumasi</c:v>
                </c:pt>
                <c:pt idx="1">
                  <c:v>Lagos</c:v>
                </c:pt>
                <c:pt idx="2">
                  <c:v>Edmonton</c:v>
                </c:pt>
                <c:pt idx="3">
                  <c:v>Calgary</c:v>
                </c:pt>
                <c:pt idx="4">
                  <c:v>Accra</c:v>
                </c:pt>
                <c:pt idx="5">
                  <c:v>Abuja</c:v>
                </c:pt>
              </c:strCache>
            </c:strRef>
          </c:cat>
          <c:val>
            <c:numRef>
              <c:f>'By Region'!$B$2:$B$7</c:f>
              <c:numCache>
                <c:formatCode>"$"#,##0.00</c:formatCode>
                <c:ptCount val="6"/>
                <c:pt idx="0">
                  <c:v>81886.28</c:v>
                </c:pt>
                <c:pt idx="1">
                  <c:v>115130.48</c:v>
                </c:pt>
                <c:pt idx="2">
                  <c:v>99228.479999999996</c:v>
                </c:pt>
                <c:pt idx="3">
                  <c:v>91837.61</c:v>
                </c:pt>
                <c:pt idx="4">
                  <c:v>117916.37</c:v>
                </c:pt>
                <c:pt idx="5">
                  <c:v>91160.78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E2B-4E3E-8EDB-D2D254099E3A}"/>
            </c:ext>
          </c:extLst>
        </c:ser>
        <c:ser>
          <c:idx val="1"/>
          <c:order val="1"/>
          <c:tx>
            <c:strRef>
              <c:f>'By Region'!$C$1</c:f>
              <c:strCache>
                <c:ptCount val="1"/>
                <c:pt idx="0">
                  <c:v>Clothing</c:v>
                </c:pt>
              </c:strCache>
            </c:strRef>
          </c:tx>
          <c:spPr>
            <a:solidFill>
              <a:srgbClr val="1BAF7A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'By Region'!$A$2:$A$7</c:f>
              <c:strCache>
                <c:ptCount val="6"/>
                <c:pt idx="0">
                  <c:v>Kumasi</c:v>
                </c:pt>
                <c:pt idx="1">
                  <c:v>Lagos</c:v>
                </c:pt>
                <c:pt idx="2">
                  <c:v>Edmonton</c:v>
                </c:pt>
                <c:pt idx="3">
                  <c:v>Calgary</c:v>
                </c:pt>
                <c:pt idx="4">
                  <c:v>Accra</c:v>
                </c:pt>
                <c:pt idx="5">
                  <c:v>Abuja</c:v>
                </c:pt>
              </c:strCache>
            </c:strRef>
          </c:cat>
          <c:val>
            <c:numRef>
              <c:f>'By Region'!$C$2:$C$7</c:f>
              <c:numCache>
                <c:formatCode>"$"#,##0.00</c:formatCode>
                <c:ptCount val="6"/>
                <c:pt idx="0">
                  <c:v>116664.07</c:v>
                </c:pt>
                <c:pt idx="1">
                  <c:v>90577.22</c:v>
                </c:pt>
                <c:pt idx="2">
                  <c:v>105147.35</c:v>
                </c:pt>
                <c:pt idx="3">
                  <c:v>94103.45</c:v>
                </c:pt>
                <c:pt idx="4">
                  <c:v>84479.09</c:v>
                </c:pt>
                <c:pt idx="5">
                  <c:v>110622.94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FE2B-4E3E-8EDB-D2D254099E3A}"/>
            </c:ext>
          </c:extLst>
        </c:ser>
        <c:ser>
          <c:idx val="2"/>
          <c:order val="2"/>
          <c:tx>
            <c:strRef>
              <c:f>'By Region'!$D$1</c:f>
              <c:strCache>
                <c:ptCount val="1"/>
                <c:pt idx="0">
                  <c:v>Electronics</c:v>
                </c:pt>
              </c:strCache>
            </c:strRef>
          </c:tx>
          <c:spPr>
            <a:solidFill>
              <a:srgbClr val="EDA10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'By Region'!$A$2:$A$7</c:f>
              <c:strCache>
                <c:ptCount val="6"/>
                <c:pt idx="0">
                  <c:v>Kumasi</c:v>
                </c:pt>
                <c:pt idx="1">
                  <c:v>Lagos</c:v>
                </c:pt>
                <c:pt idx="2">
                  <c:v>Edmonton</c:v>
                </c:pt>
                <c:pt idx="3">
                  <c:v>Calgary</c:v>
                </c:pt>
                <c:pt idx="4">
                  <c:v>Accra</c:v>
                </c:pt>
                <c:pt idx="5">
                  <c:v>Abuja</c:v>
                </c:pt>
              </c:strCache>
            </c:strRef>
          </c:cat>
          <c:val>
            <c:numRef>
              <c:f>'By Region'!$D$2:$D$7</c:f>
              <c:numCache>
                <c:formatCode>"$"#,##0.00</c:formatCode>
                <c:ptCount val="6"/>
                <c:pt idx="0">
                  <c:v>106032.95</c:v>
                </c:pt>
                <c:pt idx="1">
                  <c:v>88555.199999999997</c:v>
                </c:pt>
                <c:pt idx="2">
                  <c:v>89322.8</c:v>
                </c:pt>
                <c:pt idx="3">
                  <c:v>74186.87</c:v>
                </c:pt>
                <c:pt idx="4">
                  <c:v>99763</c:v>
                </c:pt>
                <c:pt idx="5">
                  <c:v>94073.88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FE2B-4E3E-8EDB-D2D254099E3A}"/>
            </c:ext>
          </c:extLst>
        </c:ser>
        <c:ser>
          <c:idx val="3"/>
          <c:order val="3"/>
          <c:tx>
            <c:strRef>
              <c:f>'By Region'!$E$1</c:f>
              <c:strCache>
                <c:ptCount val="1"/>
                <c:pt idx="0">
                  <c:v>Groceries</c:v>
                </c:pt>
              </c:strCache>
            </c:strRef>
          </c:tx>
          <c:spPr>
            <a:solidFill>
              <a:srgbClr val="008300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'By Region'!$A$2:$A$7</c:f>
              <c:strCache>
                <c:ptCount val="6"/>
                <c:pt idx="0">
                  <c:v>Kumasi</c:v>
                </c:pt>
                <c:pt idx="1">
                  <c:v>Lagos</c:v>
                </c:pt>
                <c:pt idx="2">
                  <c:v>Edmonton</c:v>
                </c:pt>
                <c:pt idx="3">
                  <c:v>Calgary</c:v>
                </c:pt>
                <c:pt idx="4">
                  <c:v>Accra</c:v>
                </c:pt>
                <c:pt idx="5">
                  <c:v>Abuja</c:v>
                </c:pt>
              </c:strCache>
            </c:strRef>
          </c:cat>
          <c:val>
            <c:numRef>
              <c:f>'By Region'!$E$2:$E$7</c:f>
              <c:numCache>
                <c:formatCode>"$"#,##0.00</c:formatCode>
                <c:ptCount val="6"/>
                <c:pt idx="0">
                  <c:v>107583.7</c:v>
                </c:pt>
                <c:pt idx="1">
                  <c:v>96172.92</c:v>
                </c:pt>
                <c:pt idx="2">
                  <c:v>87697.43</c:v>
                </c:pt>
                <c:pt idx="3">
                  <c:v>119022.27</c:v>
                </c:pt>
                <c:pt idx="4">
                  <c:v>77500.5</c:v>
                </c:pt>
                <c:pt idx="5">
                  <c:v>70500.67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FE2B-4E3E-8EDB-D2D254099E3A}"/>
            </c:ext>
          </c:extLst>
        </c:ser>
        <c:ser>
          <c:idx val="4"/>
          <c:order val="4"/>
          <c:tx>
            <c:strRef>
              <c:f>'By Region'!$F$1</c:f>
              <c:strCache>
                <c:ptCount val="1"/>
                <c:pt idx="0">
                  <c:v>Home</c:v>
                </c:pt>
              </c:strCache>
            </c:strRef>
          </c:tx>
          <c:spPr>
            <a:solidFill>
              <a:srgbClr val="4A3AA7"/>
            </a:solidFill>
            <a:ln>
              <a:solidFill>
                <a:srgbClr val="FFFFFF"/>
              </a:solidFill>
              <a:prstDash val="solid"/>
            </a:ln>
          </c:spPr>
          <c:invertIfNegative val="1"/>
          <c:cat>
            <c:strRef>
              <c:f>'By Region'!$A$2:$A$7</c:f>
              <c:strCache>
                <c:ptCount val="6"/>
                <c:pt idx="0">
                  <c:v>Kumasi</c:v>
                </c:pt>
                <c:pt idx="1">
                  <c:v>Lagos</c:v>
                </c:pt>
                <c:pt idx="2">
                  <c:v>Edmonton</c:v>
                </c:pt>
                <c:pt idx="3">
                  <c:v>Calgary</c:v>
                </c:pt>
                <c:pt idx="4">
                  <c:v>Accra</c:v>
                </c:pt>
                <c:pt idx="5">
                  <c:v>Abuja</c:v>
                </c:pt>
              </c:strCache>
            </c:strRef>
          </c:cat>
          <c:val>
            <c:numRef>
              <c:f>'By Region'!$F$2:$F$7</c:f>
              <c:numCache>
                <c:formatCode>"$"#,##0.00</c:formatCode>
                <c:ptCount val="6"/>
                <c:pt idx="0">
                  <c:v>112684.54</c:v>
                </c:pt>
                <c:pt idx="1">
                  <c:v>102772.62</c:v>
                </c:pt>
                <c:pt idx="2">
                  <c:v>88398.58</c:v>
                </c:pt>
                <c:pt idx="3">
                  <c:v>88782.01</c:v>
                </c:pt>
                <c:pt idx="4">
                  <c:v>82884.350000000006</c:v>
                </c:pt>
                <c:pt idx="5">
                  <c:v>82637.62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solidFill>
                      <a:srgbClr val="FFFFFF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FE2B-4E3E-8EDB-D2D254099E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numFmt formatCode="\$#,##0,&quot;K&quot;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Monthly Revenue — 2025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Monthly!$B$1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Monthly!$A$2:$A$13</c:f>
              <c:strCache>
                <c:ptCount val="12"/>
                <c:pt idx="0">
                  <c:v>2025-01</c:v>
                </c:pt>
                <c:pt idx="1">
                  <c:v>2025-02</c:v>
                </c:pt>
                <c:pt idx="2">
                  <c:v>2025-03</c:v>
                </c:pt>
                <c:pt idx="3">
                  <c:v>2025-04</c:v>
                </c:pt>
                <c:pt idx="4">
                  <c:v>2025-05</c:v>
                </c:pt>
                <c:pt idx="5">
                  <c:v>2025-06</c:v>
                </c:pt>
                <c:pt idx="6">
                  <c:v>2025-07</c:v>
                </c:pt>
                <c:pt idx="7">
                  <c:v>2025-08</c:v>
                </c:pt>
                <c:pt idx="8">
                  <c:v>2025-09</c:v>
                </c:pt>
                <c:pt idx="9">
                  <c:v>2025-10</c:v>
                </c:pt>
                <c:pt idx="10">
                  <c:v>2025-11</c:v>
                </c:pt>
                <c:pt idx="11">
                  <c:v>2025-12</c:v>
                </c:pt>
              </c:strCache>
            </c:strRef>
          </c:cat>
          <c:val>
            <c:numRef>
              <c:f>Monthly!$B$2:$B$13</c:f>
              <c:numCache>
                <c:formatCode>"$"#,##0.00</c:formatCode>
                <c:ptCount val="12"/>
                <c:pt idx="0">
                  <c:v>238016.59</c:v>
                </c:pt>
                <c:pt idx="1">
                  <c:v>221111.45</c:v>
                </c:pt>
                <c:pt idx="2">
                  <c:v>204271.96</c:v>
                </c:pt>
                <c:pt idx="3">
                  <c:v>242107.12</c:v>
                </c:pt>
                <c:pt idx="4">
                  <c:v>249341.86</c:v>
                </c:pt>
                <c:pt idx="5">
                  <c:v>274435.49</c:v>
                </c:pt>
                <c:pt idx="6">
                  <c:v>203124.64</c:v>
                </c:pt>
                <c:pt idx="7">
                  <c:v>287931.43</c:v>
                </c:pt>
                <c:pt idx="8">
                  <c:v>232819.94</c:v>
                </c:pt>
                <c:pt idx="9">
                  <c:v>232139.64</c:v>
                </c:pt>
                <c:pt idx="10">
                  <c:v>216142.27</c:v>
                </c:pt>
                <c:pt idx="11">
                  <c:v>265883.64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65D-4E78-AACB-982F52DCA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Revenue ($)</a:t>
                </a:r>
              </a:p>
            </c:rich>
          </c:tx>
          <c:overlay val="1"/>
        </c:title>
        <c:numFmt formatCode="&quot;$&quot;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114300</xdr:rowOff>
    </xdr:from>
    <xdr:ext cx="5130800" cy="3378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152400</xdr:colOff>
      <xdr:row>8</xdr:row>
      <xdr:rowOff>114300</xdr:rowOff>
    </xdr:from>
    <xdr:ext cx="5130800" cy="33782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28</xdr:row>
      <xdr:rowOff>12700</xdr:rowOff>
    </xdr:from>
    <xdr:ext cx="5130800" cy="3378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8</xdr:col>
      <xdr:colOff>152400</xdr:colOff>
      <xdr:row>28</xdr:row>
      <xdr:rowOff>12700</xdr:rowOff>
    </xdr:from>
    <xdr:ext cx="5130800" cy="33782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80AEE63-C957-4B51-9A6D-FA197FA9018E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442e8de6-c525-4661-b5e4-8b5f902a0d07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showGridLines="0" tabSelected="1" zoomScale="70" zoomScaleNormal="70" workbookViewId="0">
      <selection activeCell="V34" sqref="V34"/>
    </sheetView>
  </sheetViews>
  <sheetFormatPr defaultRowHeight="14.5" x14ac:dyDescent="0.35"/>
  <cols>
    <col min="1" max="16" width="9.453125" customWidth="1"/>
  </cols>
  <sheetData>
    <row r="1" spans="1:16" ht="22" customHeight="1" x14ac:dyDescent="0.35">
      <c r="A1" s="30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22" customHeight="1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x14ac:dyDescent="0.35">
      <c r="A3" s="32" t="s">
        <v>1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</row>
    <row r="5" spans="1:16" ht="20" customHeight="1" x14ac:dyDescent="0.35">
      <c r="A5" s="33" t="s">
        <v>2</v>
      </c>
      <c r="B5" s="33"/>
      <c r="C5" s="33"/>
      <c r="D5" s="33"/>
      <c r="E5" s="35" t="s">
        <v>3</v>
      </c>
      <c r="F5" s="35"/>
      <c r="G5" s="35"/>
      <c r="H5" s="35"/>
      <c r="I5" s="37" t="s">
        <v>4</v>
      </c>
      <c r="J5" s="37"/>
      <c r="K5" s="37"/>
      <c r="L5" s="37"/>
      <c r="M5" s="39" t="s">
        <v>5</v>
      </c>
      <c r="N5" s="39"/>
      <c r="O5" s="39"/>
      <c r="P5" s="39"/>
    </row>
    <row r="6" spans="1:16" ht="20" customHeight="1" x14ac:dyDescent="0.35">
      <c r="A6" s="34">
        <f>Summary!B3</f>
        <v>2867326.03</v>
      </c>
      <c r="B6" s="34"/>
      <c r="C6" s="34"/>
      <c r="D6" s="34"/>
      <c r="E6" s="36">
        <f>Summary!B4</f>
        <v>1970</v>
      </c>
      <c r="F6" s="36"/>
      <c r="G6" s="36"/>
      <c r="H6" s="36"/>
      <c r="I6" s="38">
        <f>Summary!B5</f>
        <v>1455.495446700508</v>
      </c>
      <c r="J6" s="38"/>
      <c r="K6" s="38"/>
      <c r="L6" s="38"/>
      <c r="M6" s="40">
        <f>'By Region'!G2</f>
        <v>524851.54</v>
      </c>
      <c r="N6" s="40"/>
      <c r="O6" s="40"/>
      <c r="P6" s="40"/>
    </row>
    <row r="7" spans="1:16" ht="20" customHeight="1" x14ac:dyDescent="0.35">
      <c r="A7" s="34"/>
      <c r="B7" s="34"/>
      <c r="C7" s="34"/>
      <c r="D7" s="34"/>
      <c r="E7" s="36"/>
      <c r="F7" s="36"/>
      <c r="G7" s="36"/>
      <c r="H7" s="36"/>
      <c r="I7" s="38"/>
      <c r="J7" s="38"/>
      <c r="K7" s="38"/>
      <c r="L7" s="38"/>
      <c r="M7" s="40"/>
      <c r="N7" s="40"/>
      <c r="O7" s="40"/>
      <c r="P7" s="40"/>
    </row>
    <row r="8" spans="1:16" ht="20" customHeight="1" x14ac:dyDescent="0.35">
      <c r="A8" s="34"/>
      <c r="B8" s="34"/>
      <c r="C8" s="34"/>
      <c r="D8" s="34"/>
      <c r="E8" s="36"/>
      <c r="F8" s="36"/>
      <c r="G8" s="36"/>
      <c r="H8" s="36"/>
      <c r="I8" s="38"/>
      <c r="J8" s="38"/>
      <c r="K8" s="38"/>
      <c r="L8" s="38"/>
      <c r="M8" s="40"/>
      <c r="N8" s="40"/>
      <c r="O8" s="40"/>
      <c r="P8" s="40"/>
    </row>
  </sheetData>
  <mergeCells count="10">
    <mergeCell ref="M5:P5"/>
    <mergeCell ref="M6:P8"/>
    <mergeCell ref="A1:P2"/>
    <mergeCell ref="A3:P3"/>
    <mergeCell ref="A5:D5"/>
    <mergeCell ref="A6:D8"/>
    <mergeCell ref="E5:H5"/>
    <mergeCell ref="E6:H8"/>
    <mergeCell ref="I5:L5"/>
    <mergeCell ref="I6:L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1" width="21" customWidth="1"/>
    <col min="2" max="2" width="16" customWidth="1"/>
  </cols>
  <sheetData>
    <row r="1" spans="1:2" ht="18.5" x14ac:dyDescent="0.45">
      <c r="A1" s="2" t="s">
        <v>6</v>
      </c>
    </row>
    <row r="3" spans="1:2" x14ac:dyDescent="0.35">
      <c r="A3" s="3" t="s">
        <v>7</v>
      </c>
      <c r="B3" s="4">
        <v>2867326.03</v>
      </c>
    </row>
    <row r="4" spans="1:2" x14ac:dyDescent="0.35">
      <c r="A4" s="3" t="s">
        <v>8</v>
      </c>
      <c r="B4" s="5">
        <v>1970</v>
      </c>
    </row>
    <row r="5" spans="1:2" x14ac:dyDescent="0.35">
      <c r="A5" s="3" t="s">
        <v>9</v>
      </c>
      <c r="B5" s="4">
        <v>1455.495446700508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0" customWidth="1"/>
    <col min="2" max="7" width="15" customWidth="1"/>
    <col min="10" max="10" width="12.26953125" bestFit="1" customWidth="1"/>
  </cols>
  <sheetData>
    <row r="1" spans="1:7" x14ac:dyDescent="0.35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</row>
    <row r="2" spans="1:7" x14ac:dyDescent="0.35">
      <c r="A2" s="7" t="s">
        <v>17</v>
      </c>
      <c r="B2" s="8">
        <v>81886.28</v>
      </c>
      <c r="C2" s="8">
        <v>116664.07</v>
      </c>
      <c r="D2" s="8">
        <v>106032.95</v>
      </c>
      <c r="E2" s="8">
        <v>107583.7</v>
      </c>
      <c r="F2" s="8">
        <v>112684.54</v>
      </c>
      <c r="G2" s="8">
        <v>524851.54</v>
      </c>
    </row>
    <row r="3" spans="1:7" x14ac:dyDescent="0.35">
      <c r="A3" s="9" t="s">
        <v>18</v>
      </c>
      <c r="B3" s="10">
        <v>115130.48</v>
      </c>
      <c r="C3" s="10">
        <v>90577.22</v>
      </c>
      <c r="D3" s="10">
        <v>88555.199999999997</v>
      </c>
      <c r="E3" s="10">
        <v>96172.92</v>
      </c>
      <c r="F3" s="10">
        <v>102772.62</v>
      </c>
      <c r="G3" s="10">
        <v>493208.44</v>
      </c>
    </row>
    <row r="4" spans="1:7" x14ac:dyDescent="0.35">
      <c r="A4" s="9" t="s">
        <v>19</v>
      </c>
      <c r="B4" s="10">
        <v>99228.479999999996</v>
      </c>
      <c r="C4" s="10">
        <v>105147.35</v>
      </c>
      <c r="D4" s="10">
        <v>89322.8</v>
      </c>
      <c r="E4" s="10">
        <v>87697.43</v>
      </c>
      <c r="F4" s="10">
        <v>88398.58</v>
      </c>
      <c r="G4" s="10">
        <v>469794.64</v>
      </c>
    </row>
    <row r="5" spans="1:7" x14ac:dyDescent="0.35">
      <c r="A5" s="9" t="s">
        <v>20</v>
      </c>
      <c r="B5" s="10">
        <v>91837.61</v>
      </c>
      <c r="C5" s="10">
        <v>94103.45</v>
      </c>
      <c r="D5" s="10">
        <v>74186.87</v>
      </c>
      <c r="E5" s="10">
        <v>119022.27</v>
      </c>
      <c r="F5" s="10">
        <v>88782.01</v>
      </c>
      <c r="G5" s="10">
        <v>467932.21</v>
      </c>
    </row>
    <row r="6" spans="1:7" x14ac:dyDescent="0.35">
      <c r="A6" s="9" t="s">
        <v>21</v>
      </c>
      <c r="B6" s="10">
        <v>117916.37</v>
      </c>
      <c r="C6" s="10">
        <v>84479.09</v>
      </c>
      <c r="D6" s="10">
        <v>99763</v>
      </c>
      <c r="E6" s="10">
        <v>77500.5</v>
      </c>
      <c r="F6" s="10">
        <v>82884.350000000006</v>
      </c>
      <c r="G6" s="10">
        <v>462543.30999999988</v>
      </c>
    </row>
    <row r="7" spans="1:7" x14ac:dyDescent="0.35">
      <c r="A7" s="9" t="s">
        <v>22</v>
      </c>
      <c r="B7" s="10">
        <v>91160.78</v>
      </c>
      <c r="C7" s="10">
        <v>110622.94</v>
      </c>
      <c r="D7" s="10">
        <v>94073.88</v>
      </c>
      <c r="E7" s="10">
        <v>70500.67</v>
      </c>
      <c r="F7" s="10">
        <v>82637.62</v>
      </c>
      <c r="G7" s="10">
        <v>448995.89</v>
      </c>
    </row>
    <row r="8" spans="1:7" x14ac:dyDescent="0.35">
      <c r="A8" s="11" t="s">
        <v>16</v>
      </c>
      <c r="B8" s="12">
        <v>597160</v>
      </c>
      <c r="C8" s="12">
        <v>601594.12000000011</v>
      </c>
      <c r="D8" s="12">
        <v>551934.69999999995</v>
      </c>
      <c r="E8" s="12">
        <v>558477.49</v>
      </c>
      <c r="F8" s="12">
        <v>558159.72</v>
      </c>
      <c r="G8" s="12">
        <v>2867326.03</v>
      </c>
    </row>
    <row r="10" spans="1:7" x14ac:dyDescent="0.35">
      <c r="A10" s="13" t="s">
        <v>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6" customWidth="1"/>
  </cols>
  <sheetData>
    <row r="1" spans="1:2" x14ac:dyDescent="0.35">
      <c r="A1" s="14" t="s">
        <v>24</v>
      </c>
      <c r="B1" s="14" t="s">
        <v>25</v>
      </c>
    </row>
    <row r="2" spans="1:2" x14ac:dyDescent="0.35">
      <c r="A2" t="s">
        <v>26</v>
      </c>
      <c r="B2" s="15">
        <v>238016.59</v>
      </c>
    </row>
    <row r="3" spans="1:2" x14ac:dyDescent="0.35">
      <c r="A3" t="s">
        <v>27</v>
      </c>
      <c r="B3" s="15">
        <v>221111.45</v>
      </c>
    </row>
    <row r="4" spans="1:2" x14ac:dyDescent="0.35">
      <c r="A4" t="s">
        <v>28</v>
      </c>
      <c r="B4" s="15">
        <v>204271.96</v>
      </c>
    </row>
    <row r="5" spans="1:2" x14ac:dyDescent="0.35">
      <c r="A5" t="s">
        <v>29</v>
      </c>
      <c r="B5" s="15">
        <v>242107.12</v>
      </c>
    </row>
    <row r="6" spans="1:2" x14ac:dyDescent="0.35">
      <c r="A6" t="s">
        <v>30</v>
      </c>
      <c r="B6" s="15">
        <v>249341.86</v>
      </c>
    </row>
    <row r="7" spans="1:2" x14ac:dyDescent="0.35">
      <c r="A7" t="s">
        <v>31</v>
      </c>
      <c r="B7" s="15">
        <v>274435.49</v>
      </c>
    </row>
    <row r="8" spans="1:2" x14ac:dyDescent="0.35">
      <c r="A8" t="s">
        <v>32</v>
      </c>
      <c r="B8" s="15">
        <v>203124.64</v>
      </c>
    </row>
    <row r="9" spans="1:2" x14ac:dyDescent="0.35">
      <c r="A9" t="s">
        <v>33</v>
      </c>
      <c r="B9" s="15">
        <v>287931.43</v>
      </c>
    </row>
    <row r="10" spans="1:2" x14ac:dyDescent="0.35">
      <c r="A10" t="s">
        <v>34</v>
      </c>
      <c r="B10" s="15">
        <v>232819.94</v>
      </c>
    </row>
    <row r="11" spans="1:2" x14ac:dyDescent="0.35">
      <c r="A11" t="s">
        <v>35</v>
      </c>
      <c r="B11" s="15">
        <v>232139.64</v>
      </c>
    </row>
    <row r="12" spans="1:2" x14ac:dyDescent="0.35">
      <c r="A12" t="s">
        <v>36</v>
      </c>
      <c r="B12" s="15">
        <v>216142.27</v>
      </c>
    </row>
    <row r="13" spans="1:2" x14ac:dyDescent="0.35">
      <c r="A13" t="s">
        <v>37</v>
      </c>
      <c r="B13" s="15">
        <v>265883.64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showGridLines="0" workbookViewId="0">
      <pane ySplit="6" topLeftCell="A7" activePane="bottomLeft" state="frozen"/>
      <selection pane="bottomLeft"/>
    </sheetView>
  </sheetViews>
  <sheetFormatPr defaultRowHeight="14.5" x14ac:dyDescent="0.35"/>
  <cols>
    <col min="1" max="1" width="6" customWidth="1"/>
    <col min="2" max="2" width="28" customWidth="1"/>
    <col min="3" max="3" width="24" customWidth="1"/>
    <col min="4" max="4" width="9" customWidth="1"/>
    <col min="5" max="5" width="14" customWidth="1"/>
    <col min="6" max="6" width="9" customWidth="1"/>
    <col min="7" max="7" width="62" customWidth="1"/>
  </cols>
  <sheetData>
    <row r="1" spans="1:7" ht="18.5" x14ac:dyDescent="0.45">
      <c r="A1" s="2" t="s">
        <v>38</v>
      </c>
    </row>
    <row r="2" spans="1:7" x14ac:dyDescent="0.35">
      <c r="A2" s="1" t="s">
        <v>39</v>
      </c>
    </row>
    <row r="4" spans="1:7" x14ac:dyDescent="0.35">
      <c r="A4" s="29" t="s">
        <v>40</v>
      </c>
      <c r="B4" s="27"/>
      <c r="C4" s="27"/>
      <c r="D4" s="27"/>
      <c r="E4" s="27"/>
      <c r="F4" s="27"/>
      <c r="G4" s="27"/>
    </row>
    <row r="6" spans="1:7" x14ac:dyDescent="0.35">
      <c r="A6" s="16" t="s">
        <v>41</v>
      </c>
      <c r="B6" s="16" t="s">
        <v>42</v>
      </c>
      <c r="C6" s="16" t="s">
        <v>43</v>
      </c>
      <c r="D6" s="16" t="s">
        <v>44</v>
      </c>
      <c r="E6" s="16" t="s">
        <v>45</v>
      </c>
      <c r="F6" s="16" t="s">
        <v>46</v>
      </c>
      <c r="G6" s="16" t="s">
        <v>47</v>
      </c>
    </row>
    <row r="7" spans="1:7" x14ac:dyDescent="0.35">
      <c r="A7" s="17" t="s">
        <v>48</v>
      </c>
      <c r="B7" s="18" t="s">
        <v>49</v>
      </c>
      <c r="C7" s="19" t="s">
        <v>50</v>
      </c>
      <c r="D7" s="17"/>
      <c r="E7" s="17"/>
      <c r="F7" s="20">
        <v>2025</v>
      </c>
      <c r="G7" s="21" t="s">
        <v>51</v>
      </c>
    </row>
    <row r="8" spans="1:7" x14ac:dyDescent="0.35">
      <c r="A8" s="22" t="s">
        <v>52</v>
      </c>
      <c r="B8" s="23" t="s">
        <v>53</v>
      </c>
      <c r="C8" s="24" t="s">
        <v>54</v>
      </c>
      <c r="D8" s="25">
        <v>2025</v>
      </c>
      <c r="E8" s="25">
        <v>25</v>
      </c>
      <c r="F8" s="25">
        <v>2000</v>
      </c>
      <c r="G8" s="26" t="s">
        <v>55</v>
      </c>
    </row>
    <row r="9" spans="1:7" ht="29" x14ac:dyDescent="0.35">
      <c r="A9" s="17" t="s">
        <v>56</v>
      </c>
      <c r="B9" s="18" t="s">
        <v>57</v>
      </c>
      <c r="C9" s="19" t="s">
        <v>58</v>
      </c>
      <c r="D9" s="20">
        <v>2000</v>
      </c>
      <c r="E9" s="20">
        <v>40</v>
      </c>
      <c r="F9" s="20">
        <v>2000</v>
      </c>
      <c r="G9" s="21" t="s">
        <v>59</v>
      </c>
    </row>
    <row r="10" spans="1:7" x14ac:dyDescent="0.35">
      <c r="A10" s="22" t="s">
        <v>60</v>
      </c>
      <c r="B10" s="23" t="s">
        <v>61</v>
      </c>
      <c r="C10" s="24" t="s">
        <v>62</v>
      </c>
      <c r="D10" s="25">
        <v>2000</v>
      </c>
      <c r="E10" s="25">
        <v>30</v>
      </c>
      <c r="F10" s="25">
        <v>1970</v>
      </c>
      <c r="G10" s="26" t="s">
        <v>63</v>
      </c>
    </row>
    <row r="11" spans="1:7" x14ac:dyDescent="0.35">
      <c r="A11" s="17" t="s">
        <v>64</v>
      </c>
      <c r="B11" s="18" t="s">
        <v>65</v>
      </c>
      <c r="C11" s="19" t="s">
        <v>66</v>
      </c>
      <c r="D11" s="20">
        <v>1970</v>
      </c>
      <c r="E11" s="20">
        <v>59</v>
      </c>
      <c r="F11" s="20">
        <v>1970</v>
      </c>
      <c r="G11" s="21" t="s">
        <v>67</v>
      </c>
    </row>
    <row r="12" spans="1:7" x14ac:dyDescent="0.35">
      <c r="A12" s="22" t="s">
        <v>68</v>
      </c>
      <c r="B12" s="23" t="s">
        <v>69</v>
      </c>
      <c r="C12" s="24" t="s">
        <v>70</v>
      </c>
      <c r="D12" s="25">
        <v>1970</v>
      </c>
      <c r="E12" s="25">
        <v>59</v>
      </c>
      <c r="F12" s="25">
        <v>1970</v>
      </c>
      <c r="G12" s="26" t="s">
        <v>71</v>
      </c>
    </row>
    <row r="13" spans="1:7" ht="29" x14ac:dyDescent="0.35">
      <c r="A13" s="17" t="s">
        <v>72</v>
      </c>
      <c r="B13" s="18" t="s">
        <v>73</v>
      </c>
      <c r="C13" s="19" t="s">
        <v>74</v>
      </c>
      <c r="D13" s="20">
        <v>1970</v>
      </c>
      <c r="E13" s="17"/>
      <c r="F13" s="20">
        <v>1970</v>
      </c>
      <c r="G13" s="21" t="s">
        <v>75</v>
      </c>
    </row>
  </sheetData>
  <mergeCells count="1">
    <mergeCell ref="A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Summary</vt:lpstr>
      <vt:lpstr>By Region</vt:lpstr>
      <vt:lpstr>Monthly</vt:lpstr>
      <vt:lpstr>Data Quality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Ray Griffiths</cp:lastModifiedBy>
  <dcterms:created xsi:type="dcterms:W3CDTF">2026-07-14T16:35:39Z</dcterms:created>
  <dcterms:modified xsi:type="dcterms:W3CDTF">2026-07-14T17:09:24Z</dcterms:modified>
</cp:coreProperties>
</file>